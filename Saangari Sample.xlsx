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singhrajpurohit/Desktop/"/>
    </mc:Choice>
  </mc:AlternateContent>
  <xr:revisionPtr revIDLastSave="0" documentId="8_{8E0AC443-4772-B648-A768-ED2EB69DBC16}" xr6:coauthVersionLast="47" xr6:coauthVersionMax="47" xr10:uidLastSave="{00000000-0000-0000-0000-000000000000}"/>
  <bookViews>
    <workbookView xWindow="460" yWindow="1100" windowWidth="27640" windowHeight="14980" xr2:uid="{7523B374-5756-3940-B00F-4551109F50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" l="1"/>
  <c r="N27" i="1"/>
  <c r="P27" i="1" s="1"/>
  <c r="N26" i="1"/>
  <c r="N25" i="1"/>
  <c r="N24" i="1"/>
  <c r="N23" i="1"/>
  <c r="P23" i="1" s="1"/>
  <c r="N22" i="1"/>
  <c r="P22" i="1" s="1"/>
  <c r="N21" i="1"/>
  <c r="P21" i="1" s="1"/>
  <c r="N20" i="1"/>
  <c r="N19" i="1"/>
  <c r="N18" i="1"/>
  <c r="N17" i="1"/>
  <c r="N16" i="1"/>
  <c r="P16" i="1" s="1"/>
  <c r="N15" i="1"/>
  <c r="P15" i="1" s="1"/>
  <c r="N14" i="1"/>
  <c r="P14" i="1" s="1"/>
  <c r="N13" i="1"/>
  <c r="N12" i="1"/>
  <c r="N11" i="1"/>
  <c r="N10" i="1"/>
  <c r="N9" i="1"/>
  <c r="O8" i="1"/>
  <c r="P8" i="1" s="1"/>
  <c r="N7" i="1"/>
  <c r="O6" i="1"/>
  <c r="P6" i="1" s="1"/>
  <c r="N5" i="1"/>
  <c r="N4" i="1"/>
  <c r="N3" i="1"/>
  <c r="N2" i="1"/>
  <c r="O28" i="1" l="1"/>
  <c r="P28" i="1"/>
  <c r="O26" i="1"/>
  <c r="P26" i="1"/>
  <c r="O25" i="1"/>
  <c r="P25" i="1"/>
  <c r="O24" i="1"/>
  <c r="P24" i="1" s="1"/>
  <c r="O20" i="1"/>
  <c r="P20" i="1" s="1"/>
  <c r="O19" i="1"/>
  <c r="P19" i="1"/>
  <c r="O18" i="1"/>
  <c r="P18" i="1"/>
  <c r="O17" i="1"/>
  <c r="P17" i="1"/>
  <c r="O13" i="1"/>
  <c r="P13" i="1" s="1"/>
  <c r="O12" i="1"/>
  <c r="P12" i="1" s="1"/>
  <c r="O11" i="1"/>
  <c r="P11" i="1" s="1"/>
  <c r="O10" i="1"/>
  <c r="P10" i="1" s="1"/>
  <c r="O9" i="1"/>
  <c r="P9" i="1" s="1"/>
  <c r="O7" i="1"/>
  <c r="P7" i="1"/>
  <c r="O5" i="1"/>
  <c r="P5" i="1" s="1"/>
  <c r="O4" i="1"/>
  <c r="P4" i="1" s="1"/>
  <c r="O3" i="1"/>
  <c r="P3" i="1" s="1"/>
  <c r="O2" i="1"/>
  <c r="P2" i="1" s="1"/>
</calcChain>
</file>

<file path=xl/sharedStrings.xml><?xml version="1.0" encoding="utf-8"?>
<sst xmlns="http://schemas.openxmlformats.org/spreadsheetml/2006/main" count="246" uniqueCount="78">
  <si>
    <t>Sr No</t>
  </si>
  <si>
    <t>Category</t>
  </si>
  <si>
    <t>CLIENT NAME</t>
  </si>
  <si>
    <t>Contact Name</t>
  </si>
  <si>
    <t>Contact Number`</t>
  </si>
  <si>
    <t>ZONE</t>
  </si>
  <si>
    <t>Site Booked</t>
  </si>
  <si>
    <t>Rate</t>
  </si>
  <si>
    <t>No Of Site</t>
  </si>
  <si>
    <t>No Of Month</t>
  </si>
  <si>
    <t>Start Date</t>
  </si>
  <si>
    <t>End Date</t>
  </si>
  <si>
    <t>billing date</t>
  </si>
  <si>
    <t>Total Payment</t>
  </si>
  <si>
    <t>GST</t>
  </si>
  <si>
    <t>total</t>
  </si>
  <si>
    <t xml:space="preserve"> Payment Status</t>
  </si>
  <si>
    <t>School &amp; College</t>
  </si>
  <si>
    <t>Pink Model School</t>
  </si>
  <si>
    <t>Rajiv Vyas</t>
  </si>
  <si>
    <t>ZONE 2</t>
  </si>
  <si>
    <t>Rani Bazar Flyover</t>
  </si>
  <si>
    <t>04.04.2025</t>
  </si>
  <si>
    <t>15.07.2025</t>
  </si>
  <si>
    <t>PostPaid</t>
  </si>
  <si>
    <t>Major Pooran Singh Circle (one Shifted to shani mandir 01.05.2025)</t>
  </si>
  <si>
    <t>01.04.2025</t>
  </si>
  <si>
    <t>01.05.2025</t>
  </si>
  <si>
    <t>--------</t>
  </si>
  <si>
    <t>Hospital</t>
  </si>
  <si>
    <t>Ayushman Hospital</t>
  </si>
  <si>
    <t>B L Swami</t>
  </si>
  <si>
    <t>Rani Bazar Flyover (one shifted to SSB 06.05.2025)</t>
  </si>
  <si>
    <t>07.04.2025</t>
  </si>
  <si>
    <t>06.09.2025</t>
  </si>
  <si>
    <t>Medical Circle</t>
  </si>
  <si>
    <t>Ayushman Heart Care (2days)</t>
  </si>
  <si>
    <t>06.03.2026</t>
  </si>
  <si>
    <t>ZONE 5</t>
  </si>
  <si>
    <t>Museum Circle</t>
  </si>
  <si>
    <t>ZONE 1</t>
  </si>
  <si>
    <t>Ganganagar Circle</t>
  </si>
  <si>
    <t>30.06.2026</t>
  </si>
  <si>
    <t>Bhraman Path</t>
  </si>
  <si>
    <t>09.04.2025</t>
  </si>
  <si>
    <t>Coaching</t>
  </si>
  <si>
    <t>Synthesis</t>
  </si>
  <si>
    <t>Pawan suthar</t>
  </si>
  <si>
    <t>11.04.2025</t>
  </si>
  <si>
    <t>30.07.2025</t>
  </si>
  <si>
    <t>Patel Nagar Tiraha</t>
  </si>
  <si>
    <t>15.04.2025</t>
  </si>
  <si>
    <t>Career Point</t>
  </si>
  <si>
    <t>Kapil Mahobia</t>
  </si>
  <si>
    <t>Major Pooran Singh Circle</t>
  </si>
  <si>
    <t>10.04.2025</t>
  </si>
  <si>
    <t>20.05.2025</t>
  </si>
  <si>
    <t>Deendayaal Circle</t>
  </si>
  <si>
    <t>Haldiram Pyau</t>
  </si>
  <si>
    <t>University</t>
  </si>
  <si>
    <t>RNB University</t>
  </si>
  <si>
    <t>Pramod Bajaj</t>
  </si>
  <si>
    <t>16.04.2025</t>
  </si>
  <si>
    <t>13.04.2025</t>
  </si>
  <si>
    <t>Sophia School both side</t>
  </si>
  <si>
    <t>Dhola Maru Hotel Dairy Booth Towards ( brahmkumari circle)</t>
  </si>
  <si>
    <t>22.04.2025</t>
  </si>
  <si>
    <t>21.05.2025</t>
  </si>
  <si>
    <t>Electronics</t>
  </si>
  <si>
    <t>Godrej</t>
  </si>
  <si>
    <t>Ajay Bansal</t>
  </si>
  <si>
    <t>OPPOSITE RTECH MALL, JAIPUR ROAD</t>
  </si>
  <si>
    <t>23.04.2025</t>
  </si>
  <si>
    <t>22.05.2025</t>
  </si>
  <si>
    <t>DEENDAYAAL CIRCLE Veternary Quaters 1</t>
  </si>
  <si>
    <t>27.04.2025</t>
  </si>
  <si>
    <t>NAAGNECHI JI MANDIR (TOWARDS NAAGNECHI)</t>
  </si>
  <si>
    <t>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</si>
</sst>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 tint="4.9989318521683403E-2"/>
      <name val="Arial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2" fillId="0" borderId="1" xfId="1" applyNumberFormat="1" applyFont="1" applyFill="1" applyBorder="1" applyAlignment="1">
      <alignment vertical="center" wrapText="1"/>
    </xf>
    <xf numFmtId="164" fontId="3" fillId="0" borderId="1" xfId="1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D26A-DF24-B143-BCB5-8CCDBCAC0199}">
  <dimension ref="A1:Q28"/>
  <sheetViews>
    <sheetView tabSelected="1" workbookViewId="0">
      <selection activeCell="Q25" sqref="Q25"/>
    </sheetView>
  </sheetViews>
  <sheetFormatPr baseColWidth="10" defaultRowHeight="16" x14ac:dyDescent="0.2"/>
  <cols>
    <col min="1" max="16384" width="10.83203125" style="6"/>
  </cols>
  <sheetData>
    <row r="1" spans="1:17" ht="30" x14ac:dyDescent="0.2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3" t="s">
        <v>16</v>
      </c>
    </row>
    <row r="2" spans="1:17" ht="28" x14ac:dyDescent="0.2">
      <c r="A2" s="7">
        <v>1</v>
      </c>
      <c r="B2" s="7" t="s">
        <v>17</v>
      </c>
      <c r="C2" s="7" t="s">
        <v>18</v>
      </c>
      <c r="D2" s="7" t="s">
        <v>19</v>
      </c>
      <c r="E2" s="7">
        <v>9829099055</v>
      </c>
      <c r="F2" s="8" t="s">
        <v>20</v>
      </c>
      <c r="G2" s="9" t="s">
        <v>21</v>
      </c>
      <c r="H2" s="7">
        <v>21500</v>
      </c>
      <c r="I2" s="7">
        <v>1</v>
      </c>
      <c r="J2" s="7">
        <v>4</v>
      </c>
      <c r="K2" s="7" t="s">
        <v>22</v>
      </c>
      <c r="L2" s="7" t="s">
        <v>23</v>
      </c>
      <c r="M2" s="7">
        <v>1</v>
      </c>
      <c r="N2" s="2">
        <f>H2*J2</f>
        <v>86000</v>
      </c>
      <c r="O2" s="2">
        <f>N2*18%</f>
        <v>15480</v>
      </c>
      <c r="P2" s="2">
        <f t="shared" ref="P2:P28" si="0">N2+O2</f>
        <v>101480</v>
      </c>
      <c r="Q2" s="10" t="s">
        <v>24</v>
      </c>
    </row>
    <row r="3" spans="1:17" ht="78" x14ac:dyDescent="0.2">
      <c r="A3" s="7">
        <v>2</v>
      </c>
      <c r="B3" s="7" t="s">
        <v>17</v>
      </c>
      <c r="C3" s="7" t="s">
        <v>18</v>
      </c>
      <c r="D3" s="7" t="s">
        <v>19</v>
      </c>
      <c r="E3" s="7">
        <v>9829099055</v>
      </c>
      <c r="F3" s="8" t="s">
        <v>20</v>
      </c>
      <c r="G3" s="9" t="s">
        <v>25</v>
      </c>
      <c r="H3" s="7">
        <v>21500</v>
      </c>
      <c r="I3" s="7">
        <v>1</v>
      </c>
      <c r="J3" s="7">
        <v>1</v>
      </c>
      <c r="K3" s="7" t="s">
        <v>26</v>
      </c>
      <c r="L3" s="7" t="s">
        <v>27</v>
      </c>
      <c r="M3" s="11" t="s">
        <v>28</v>
      </c>
      <c r="N3" s="2">
        <f>H3*J3</f>
        <v>21500</v>
      </c>
      <c r="O3" s="2">
        <f t="shared" ref="O3:O28" si="1">N3*18%</f>
        <v>3870</v>
      </c>
      <c r="P3" s="2">
        <f t="shared" si="0"/>
        <v>25370</v>
      </c>
      <c r="Q3" s="10" t="s">
        <v>24</v>
      </c>
    </row>
    <row r="4" spans="1:17" ht="65" x14ac:dyDescent="0.2">
      <c r="A4" s="7">
        <v>3</v>
      </c>
      <c r="B4" s="7" t="s">
        <v>29</v>
      </c>
      <c r="C4" s="7" t="s">
        <v>30</v>
      </c>
      <c r="D4" s="7" t="s">
        <v>31</v>
      </c>
      <c r="E4" s="7">
        <v>7878619279</v>
      </c>
      <c r="F4" s="8" t="s">
        <v>20</v>
      </c>
      <c r="G4" s="9" t="s">
        <v>32</v>
      </c>
      <c r="H4" s="7">
        <v>22500</v>
      </c>
      <c r="I4" s="7">
        <v>2</v>
      </c>
      <c r="J4" s="7">
        <v>10</v>
      </c>
      <c r="K4" s="7" t="s">
        <v>33</v>
      </c>
      <c r="L4" s="7" t="s">
        <v>34</v>
      </c>
      <c r="M4" s="7">
        <v>1</v>
      </c>
      <c r="N4" s="2">
        <f>H4*J4</f>
        <v>225000</v>
      </c>
      <c r="O4" s="2">
        <f t="shared" si="1"/>
        <v>40500</v>
      </c>
      <c r="P4" s="2">
        <f t="shared" si="0"/>
        <v>265500</v>
      </c>
      <c r="Q4" s="10" t="s">
        <v>24</v>
      </c>
    </row>
    <row r="5" spans="1:17" ht="28" x14ac:dyDescent="0.2">
      <c r="A5" s="7">
        <v>4</v>
      </c>
      <c r="B5" s="7" t="s">
        <v>29</v>
      </c>
      <c r="C5" s="7" t="s">
        <v>30</v>
      </c>
      <c r="D5" s="7" t="s">
        <v>31</v>
      </c>
      <c r="E5" s="7">
        <v>7878619279</v>
      </c>
      <c r="F5" s="8" t="s">
        <v>20</v>
      </c>
      <c r="G5" s="9" t="s">
        <v>35</v>
      </c>
      <c r="H5" s="7">
        <v>22500</v>
      </c>
      <c r="I5" s="7">
        <v>1</v>
      </c>
      <c r="J5" s="7">
        <v>5</v>
      </c>
      <c r="K5" s="7" t="s">
        <v>33</v>
      </c>
      <c r="L5" s="7" t="s">
        <v>34</v>
      </c>
      <c r="M5" s="7">
        <v>1</v>
      </c>
      <c r="N5" s="2">
        <f>H5*J5</f>
        <v>112500</v>
      </c>
      <c r="O5" s="2">
        <f t="shared" si="1"/>
        <v>20250</v>
      </c>
      <c r="P5" s="2">
        <f t="shared" si="0"/>
        <v>132750</v>
      </c>
      <c r="Q5" s="10" t="s">
        <v>77</v>
      </c>
    </row>
    <row r="6" spans="1:17" ht="39" x14ac:dyDescent="0.2">
      <c r="A6" s="7">
        <v>5</v>
      </c>
      <c r="B6" s="7" t="s">
        <v>29</v>
      </c>
      <c r="C6" s="7" t="s">
        <v>30</v>
      </c>
      <c r="D6" s="7" t="s">
        <v>31</v>
      </c>
      <c r="E6" s="7">
        <v>7878619279</v>
      </c>
      <c r="F6" s="8" t="s">
        <v>20</v>
      </c>
      <c r="G6" s="9" t="s">
        <v>36</v>
      </c>
      <c r="H6" s="7">
        <v>22500</v>
      </c>
      <c r="I6" s="7">
        <v>1</v>
      </c>
      <c r="J6" s="7">
        <v>12</v>
      </c>
      <c r="K6" s="7" t="s">
        <v>33</v>
      </c>
      <c r="L6" s="7" t="s">
        <v>37</v>
      </c>
      <c r="M6" s="11" t="s">
        <v>28</v>
      </c>
      <c r="N6" s="2"/>
      <c r="O6" s="2">
        <f t="shared" si="1"/>
        <v>0</v>
      </c>
      <c r="P6" s="2">
        <f t="shared" si="0"/>
        <v>0</v>
      </c>
      <c r="Q6" s="10" t="s">
        <v>77</v>
      </c>
    </row>
    <row r="7" spans="1:17" ht="28" x14ac:dyDescent="0.2">
      <c r="A7" s="7">
        <v>6</v>
      </c>
      <c r="B7" s="7" t="s">
        <v>29</v>
      </c>
      <c r="C7" s="7" t="s">
        <v>30</v>
      </c>
      <c r="D7" s="7" t="s">
        <v>31</v>
      </c>
      <c r="E7" s="7">
        <v>7878619279</v>
      </c>
      <c r="F7" s="8" t="s">
        <v>38</v>
      </c>
      <c r="G7" s="9" t="s">
        <v>39</v>
      </c>
      <c r="H7" s="7">
        <v>22500</v>
      </c>
      <c r="I7" s="7">
        <v>1</v>
      </c>
      <c r="J7" s="7">
        <v>5</v>
      </c>
      <c r="K7" s="7" t="s">
        <v>33</v>
      </c>
      <c r="L7" s="7" t="s">
        <v>34</v>
      </c>
      <c r="M7" s="7">
        <v>1</v>
      </c>
      <c r="N7" s="2">
        <f>H7*J7</f>
        <v>112500</v>
      </c>
      <c r="O7" s="2">
        <f t="shared" si="1"/>
        <v>20250</v>
      </c>
      <c r="P7" s="2">
        <f t="shared" si="0"/>
        <v>132750</v>
      </c>
      <c r="Q7" s="10" t="s">
        <v>77</v>
      </c>
    </row>
    <row r="8" spans="1:17" ht="28" x14ac:dyDescent="0.2">
      <c r="A8" s="7">
        <v>7</v>
      </c>
      <c r="B8" s="7" t="s">
        <v>29</v>
      </c>
      <c r="C8" s="7" t="s">
        <v>30</v>
      </c>
      <c r="D8" s="7" t="s">
        <v>31</v>
      </c>
      <c r="E8" s="7">
        <v>7878619279</v>
      </c>
      <c r="F8" s="8" t="s">
        <v>40</v>
      </c>
      <c r="G8" s="9" t="s">
        <v>41</v>
      </c>
      <c r="H8" s="7">
        <v>22500</v>
      </c>
      <c r="I8" s="7">
        <v>1</v>
      </c>
      <c r="J8" s="7">
        <v>3</v>
      </c>
      <c r="K8" s="7" t="s">
        <v>33</v>
      </c>
      <c r="L8" s="7" t="s">
        <v>42</v>
      </c>
      <c r="M8" s="7">
        <v>1</v>
      </c>
      <c r="N8" s="2">
        <v>63000</v>
      </c>
      <c r="O8" s="2">
        <f t="shared" si="1"/>
        <v>11340</v>
      </c>
      <c r="P8" s="2">
        <f t="shared" si="0"/>
        <v>74340</v>
      </c>
      <c r="Q8" s="10" t="s">
        <v>77</v>
      </c>
    </row>
    <row r="9" spans="1:17" ht="28" x14ac:dyDescent="0.2">
      <c r="A9" s="7">
        <v>8</v>
      </c>
      <c r="B9" s="7" t="s">
        <v>29</v>
      </c>
      <c r="C9" s="7" t="s">
        <v>30</v>
      </c>
      <c r="D9" s="7" t="s">
        <v>31</v>
      </c>
      <c r="E9" s="7">
        <v>7878619279</v>
      </c>
      <c r="F9" s="8" t="s">
        <v>20</v>
      </c>
      <c r="G9" s="9" t="s">
        <v>43</v>
      </c>
      <c r="H9" s="7">
        <v>22500</v>
      </c>
      <c r="I9" s="7">
        <v>1</v>
      </c>
      <c r="J9" s="7">
        <v>5</v>
      </c>
      <c r="K9" s="7" t="s">
        <v>33</v>
      </c>
      <c r="L9" s="7" t="s">
        <v>34</v>
      </c>
      <c r="M9" s="7">
        <v>1</v>
      </c>
      <c r="N9" s="2">
        <f t="shared" ref="N9:N28" si="2">H9*J9</f>
        <v>112500</v>
      </c>
      <c r="O9" s="2">
        <f t="shared" si="1"/>
        <v>20250</v>
      </c>
      <c r="P9" s="2">
        <f t="shared" si="0"/>
        <v>132750</v>
      </c>
      <c r="Q9" s="10" t="s">
        <v>77</v>
      </c>
    </row>
    <row r="10" spans="1:17" ht="28" x14ac:dyDescent="0.2">
      <c r="A10" s="7">
        <v>9</v>
      </c>
      <c r="B10" s="7" t="s">
        <v>29</v>
      </c>
      <c r="C10" s="7" t="s">
        <v>30</v>
      </c>
      <c r="D10" s="7" t="s">
        <v>31</v>
      </c>
      <c r="E10" s="7">
        <v>7878619279</v>
      </c>
      <c r="F10" s="8" t="s">
        <v>40</v>
      </c>
      <c r="G10" s="9" t="s">
        <v>41</v>
      </c>
      <c r="H10" s="7">
        <v>22500</v>
      </c>
      <c r="I10" s="7">
        <v>1</v>
      </c>
      <c r="J10" s="7">
        <v>5</v>
      </c>
      <c r="K10" s="7" t="s">
        <v>44</v>
      </c>
      <c r="L10" s="7" t="s">
        <v>34</v>
      </c>
      <c r="M10" s="7">
        <v>1</v>
      </c>
      <c r="N10" s="2">
        <f t="shared" si="2"/>
        <v>112500</v>
      </c>
      <c r="O10" s="2">
        <f t="shared" si="1"/>
        <v>20250</v>
      </c>
      <c r="P10" s="2">
        <f t="shared" si="0"/>
        <v>132750</v>
      </c>
      <c r="Q10" s="10" t="s">
        <v>77</v>
      </c>
    </row>
    <row r="11" spans="1:17" ht="28" x14ac:dyDescent="0.2">
      <c r="A11" s="7">
        <v>10</v>
      </c>
      <c r="B11" s="7" t="s">
        <v>45</v>
      </c>
      <c r="C11" s="12" t="s">
        <v>46</v>
      </c>
      <c r="D11" s="7" t="s">
        <v>47</v>
      </c>
      <c r="E11" s="7">
        <v>9694830130</v>
      </c>
      <c r="F11" s="8" t="s">
        <v>40</v>
      </c>
      <c r="G11" s="9" t="s">
        <v>41</v>
      </c>
      <c r="H11" s="7">
        <v>27000</v>
      </c>
      <c r="I11" s="7">
        <v>1</v>
      </c>
      <c r="J11" s="7">
        <v>3</v>
      </c>
      <c r="K11" s="7" t="s">
        <v>48</v>
      </c>
      <c r="L11" s="7" t="s">
        <v>23</v>
      </c>
      <c r="M11" s="7">
        <v>15</v>
      </c>
      <c r="N11" s="2">
        <f t="shared" si="2"/>
        <v>81000</v>
      </c>
      <c r="O11" s="2">
        <f t="shared" si="1"/>
        <v>14580</v>
      </c>
      <c r="P11" s="2">
        <f t="shared" si="0"/>
        <v>95580</v>
      </c>
      <c r="Q11" s="10" t="s">
        <v>24</v>
      </c>
    </row>
    <row r="12" spans="1:17" ht="28" x14ac:dyDescent="0.2">
      <c r="A12" s="7">
        <v>11</v>
      </c>
      <c r="B12" s="7" t="s">
        <v>45</v>
      </c>
      <c r="C12" s="12" t="s">
        <v>46</v>
      </c>
      <c r="D12" s="7" t="s">
        <v>47</v>
      </c>
      <c r="E12" s="7">
        <v>9694830130</v>
      </c>
      <c r="F12" s="8" t="s">
        <v>20</v>
      </c>
      <c r="G12" s="9" t="s">
        <v>43</v>
      </c>
      <c r="H12" s="7">
        <v>27000</v>
      </c>
      <c r="I12" s="7">
        <v>1</v>
      </c>
      <c r="J12" s="7">
        <v>3</v>
      </c>
      <c r="K12" s="7" t="s">
        <v>48</v>
      </c>
      <c r="L12" s="7" t="s">
        <v>49</v>
      </c>
      <c r="M12" s="7">
        <v>15</v>
      </c>
      <c r="N12" s="2">
        <f t="shared" si="2"/>
        <v>81000</v>
      </c>
      <c r="O12" s="2">
        <f t="shared" si="1"/>
        <v>14580</v>
      </c>
      <c r="P12" s="2">
        <f t="shared" si="0"/>
        <v>95580</v>
      </c>
      <c r="Q12" s="10" t="s">
        <v>24</v>
      </c>
    </row>
    <row r="13" spans="1:17" ht="28" x14ac:dyDescent="0.2">
      <c r="A13" s="7">
        <v>12</v>
      </c>
      <c r="B13" s="7" t="s">
        <v>45</v>
      </c>
      <c r="C13" s="12" t="s">
        <v>46</v>
      </c>
      <c r="D13" s="7" t="s">
        <v>47</v>
      </c>
      <c r="E13" s="7">
        <v>9694830130</v>
      </c>
      <c r="F13" s="8" t="s">
        <v>20</v>
      </c>
      <c r="G13" s="9" t="s">
        <v>50</v>
      </c>
      <c r="H13" s="7">
        <v>27000</v>
      </c>
      <c r="I13" s="7">
        <v>1</v>
      </c>
      <c r="J13" s="7">
        <v>3</v>
      </c>
      <c r="K13" s="7" t="s">
        <v>51</v>
      </c>
      <c r="L13" s="7" t="s">
        <v>23</v>
      </c>
      <c r="M13" s="7">
        <v>15</v>
      </c>
      <c r="N13" s="2">
        <f t="shared" si="2"/>
        <v>81000</v>
      </c>
      <c r="O13" s="2">
        <f t="shared" si="1"/>
        <v>14580</v>
      </c>
      <c r="P13" s="2">
        <f t="shared" si="0"/>
        <v>95580</v>
      </c>
      <c r="Q13" s="10" t="s">
        <v>24</v>
      </c>
    </row>
    <row r="14" spans="1:17" ht="28" x14ac:dyDescent="0.2">
      <c r="A14" s="7">
        <v>13</v>
      </c>
      <c r="B14" s="7" t="s">
        <v>45</v>
      </c>
      <c r="C14" s="7" t="s">
        <v>52</v>
      </c>
      <c r="D14" s="7" t="s">
        <v>53</v>
      </c>
      <c r="E14" s="7">
        <v>8690990951</v>
      </c>
      <c r="F14" s="8" t="s">
        <v>20</v>
      </c>
      <c r="G14" s="9" t="s">
        <v>54</v>
      </c>
      <c r="H14" s="7">
        <v>25000</v>
      </c>
      <c r="I14" s="7">
        <v>1</v>
      </c>
      <c r="J14" s="7">
        <v>1</v>
      </c>
      <c r="K14" s="7" t="s">
        <v>55</v>
      </c>
      <c r="L14" s="7" t="s">
        <v>56</v>
      </c>
      <c r="M14" s="11" t="s">
        <v>28</v>
      </c>
      <c r="N14" s="2">
        <f t="shared" si="2"/>
        <v>25000</v>
      </c>
      <c r="O14" s="2">
        <v>0</v>
      </c>
      <c r="P14" s="2">
        <f t="shared" si="0"/>
        <v>25000</v>
      </c>
      <c r="Q14" s="10" t="s">
        <v>24</v>
      </c>
    </row>
    <row r="15" spans="1:17" ht="28" x14ac:dyDescent="0.2">
      <c r="A15" s="7">
        <v>14</v>
      </c>
      <c r="B15" s="7" t="s">
        <v>45</v>
      </c>
      <c r="C15" s="7" t="s">
        <v>52</v>
      </c>
      <c r="D15" s="7" t="s">
        <v>53</v>
      </c>
      <c r="E15" s="7">
        <v>8690990951</v>
      </c>
      <c r="F15" s="8" t="s">
        <v>20</v>
      </c>
      <c r="G15" s="9" t="s">
        <v>21</v>
      </c>
      <c r="H15" s="7">
        <v>25000</v>
      </c>
      <c r="I15" s="7">
        <v>1</v>
      </c>
      <c r="J15" s="7">
        <v>1</v>
      </c>
      <c r="K15" s="7" t="s">
        <v>55</v>
      </c>
      <c r="L15" s="7" t="s">
        <v>56</v>
      </c>
      <c r="M15" s="11" t="s">
        <v>28</v>
      </c>
      <c r="N15" s="2">
        <f t="shared" si="2"/>
        <v>25000</v>
      </c>
      <c r="O15" s="2">
        <v>0</v>
      </c>
      <c r="P15" s="2">
        <f t="shared" si="0"/>
        <v>25000</v>
      </c>
      <c r="Q15" s="10" t="s">
        <v>24</v>
      </c>
    </row>
    <row r="16" spans="1:17" ht="28" x14ac:dyDescent="0.2">
      <c r="A16" s="7">
        <v>15</v>
      </c>
      <c r="B16" s="7" t="s">
        <v>45</v>
      </c>
      <c r="C16" s="7" t="s">
        <v>52</v>
      </c>
      <c r="D16" s="7" t="s">
        <v>53</v>
      </c>
      <c r="E16" s="7">
        <v>8690990951</v>
      </c>
      <c r="F16" s="8" t="s">
        <v>20</v>
      </c>
      <c r="G16" s="9" t="s">
        <v>35</v>
      </c>
      <c r="H16" s="7">
        <v>25000</v>
      </c>
      <c r="I16" s="7">
        <v>1</v>
      </c>
      <c r="J16" s="7">
        <v>1</v>
      </c>
      <c r="K16" s="7" t="s">
        <v>55</v>
      </c>
      <c r="L16" s="7" t="s">
        <v>56</v>
      </c>
      <c r="M16" s="11" t="s">
        <v>28</v>
      </c>
      <c r="N16" s="2">
        <f t="shared" si="2"/>
        <v>25000</v>
      </c>
      <c r="O16" s="2">
        <v>0</v>
      </c>
      <c r="P16" s="2">
        <f t="shared" si="0"/>
        <v>25000</v>
      </c>
      <c r="Q16" s="10" t="s">
        <v>24</v>
      </c>
    </row>
    <row r="17" spans="1:17" ht="28" x14ac:dyDescent="0.2">
      <c r="A17" s="7">
        <v>16</v>
      </c>
      <c r="B17" s="7" t="s">
        <v>17</v>
      </c>
      <c r="C17" s="7" t="s">
        <v>18</v>
      </c>
      <c r="D17" s="7" t="s">
        <v>19</v>
      </c>
      <c r="E17" s="7">
        <v>9829099055</v>
      </c>
      <c r="F17" s="8" t="s">
        <v>38</v>
      </c>
      <c r="G17" s="9" t="s">
        <v>57</v>
      </c>
      <c r="H17" s="7">
        <v>21500</v>
      </c>
      <c r="I17" s="7">
        <v>1</v>
      </c>
      <c r="J17" s="7">
        <v>4</v>
      </c>
      <c r="K17" s="7" t="s">
        <v>48</v>
      </c>
      <c r="L17" s="7" t="s">
        <v>23</v>
      </c>
      <c r="M17" s="7">
        <v>1</v>
      </c>
      <c r="N17" s="2">
        <f t="shared" si="2"/>
        <v>86000</v>
      </c>
      <c r="O17" s="2">
        <f t="shared" si="1"/>
        <v>15480</v>
      </c>
      <c r="P17" s="2">
        <f t="shared" si="0"/>
        <v>101480</v>
      </c>
      <c r="Q17" s="10" t="s">
        <v>24</v>
      </c>
    </row>
    <row r="18" spans="1:17" ht="28" x14ac:dyDescent="0.2">
      <c r="A18" s="7">
        <v>17</v>
      </c>
      <c r="B18" s="7" t="s">
        <v>29</v>
      </c>
      <c r="C18" s="7" t="s">
        <v>30</v>
      </c>
      <c r="D18" s="7" t="s">
        <v>31</v>
      </c>
      <c r="E18" s="7">
        <v>7878619279</v>
      </c>
      <c r="F18" s="8" t="s">
        <v>38</v>
      </c>
      <c r="G18" s="9" t="s">
        <v>58</v>
      </c>
      <c r="H18" s="7">
        <v>22500</v>
      </c>
      <c r="I18" s="7">
        <v>1</v>
      </c>
      <c r="J18" s="7">
        <v>5</v>
      </c>
      <c r="K18" s="7" t="s">
        <v>48</v>
      </c>
      <c r="L18" s="7" t="s">
        <v>34</v>
      </c>
      <c r="M18" s="7">
        <v>1</v>
      </c>
      <c r="N18" s="2">
        <f t="shared" si="2"/>
        <v>112500</v>
      </c>
      <c r="O18" s="2">
        <f t="shared" si="1"/>
        <v>20250</v>
      </c>
      <c r="P18" s="2">
        <f t="shared" si="0"/>
        <v>132750</v>
      </c>
      <c r="Q18" s="10" t="s">
        <v>24</v>
      </c>
    </row>
    <row r="19" spans="1:17" ht="28" x14ac:dyDescent="0.2">
      <c r="A19" s="7">
        <v>18</v>
      </c>
      <c r="B19" s="7" t="s">
        <v>59</v>
      </c>
      <c r="C19" s="7" t="s">
        <v>60</v>
      </c>
      <c r="D19" s="7" t="s">
        <v>61</v>
      </c>
      <c r="E19" s="7">
        <v>9811839292</v>
      </c>
      <c r="F19" s="8" t="s">
        <v>38</v>
      </c>
      <c r="G19" s="9" t="s">
        <v>39</v>
      </c>
      <c r="H19" s="7">
        <v>26000</v>
      </c>
      <c r="I19" s="7">
        <v>1</v>
      </c>
      <c r="J19" s="7">
        <v>3.5</v>
      </c>
      <c r="K19" s="7" t="s">
        <v>51</v>
      </c>
      <c r="L19" s="7" t="s">
        <v>49</v>
      </c>
      <c r="M19" s="7">
        <v>20</v>
      </c>
      <c r="N19" s="2">
        <f t="shared" si="2"/>
        <v>91000</v>
      </c>
      <c r="O19" s="2">
        <f t="shared" si="1"/>
        <v>16380</v>
      </c>
      <c r="P19" s="2">
        <f t="shared" si="0"/>
        <v>107380</v>
      </c>
      <c r="Q19" s="10" t="s">
        <v>24</v>
      </c>
    </row>
    <row r="20" spans="1:17" ht="28" x14ac:dyDescent="0.2">
      <c r="A20" s="7">
        <v>19</v>
      </c>
      <c r="B20" s="7" t="s">
        <v>59</v>
      </c>
      <c r="C20" s="7" t="s">
        <v>60</v>
      </c>
      <c r="D20" s="7" t="s">
        <v>61</v>
      </c>
      <c r="E20" s="7">
        <v>9811839292</v>
      </c>
      <c r="F20" s="8" t="s">
        <v>40</v>
      </c>
      <c r="G20" s="9" t="s">
        <v>41</v>
      </c>
      <c r="H20" s="7">
        <v>26000</v>
      </c>
      <c r="I20" s="7">
        <v>1</v>
      </c>
      <c r="J20" s="7">
        <v>1</v>
      </c>
      <c r="K20" s="7" t="s">
        <v>62</v>
      </c>
      <c r="L20" s="7" t="s">
        <v>56</v>
      </c>
      <c r="M20" s="11" t="s">
        <v>28</v>
      </c>
      <c r="N20" s="2">
        <f t="shared" si="2"/>
        <v>26000</v>
      </c>
      <c r="O20" s="2">
        <f t="shared" si="1"/>
        <v>4680</v>
      </c>
      <c r="P20" s="2">
        <f t="shared" si="0"/>
        <v>30680</v>
      </c>
      <c r="Q20" s="10" t="s">
        <v>24</v>
      </c>
    </row>
    <row r="21" spans="1:17" ht="28" x14ac:dyDescent="0.2">
      <c r="A21" s="7">
        <v>20</v>
      </c>
      <c r="B21" s="7" t="s">
        <v>45</v>
      </c>
      <c r="C21" s="7" t="s">
        <v>52</v>
      </c>
      <c r="D21" s="7" t="s">
        <v>53</v>
      </c>
      <c r="E21" s="7">
        <v>8690990951</v>
      </c>
      <c r="F21" s="8" t="s">
        <v>40</v>
      </c>
      <c r="G21" s="9" t="s">
        <v>41</v>
      </c>
      <c r="H21" s="7">
        <v>25000</v>
      </c>
      <c r="I21" s="7">
        <v>1</v>
      </c>
      <c r="J21" s="7">
        <v>1</v>
      </c>
      <c r="K21" s="7" t="s">
        <v>63</v>
      </c>
      <c r="L21" s="7" t="s">
        <v>56</v>
      </c>
      <c r="M21" s="11" t="s">
        <v>28</v>
      </c>
      <c r="N21" s="2">
        <f t="shared" si="2"/>
        <v>25000</v>
      </c>
      <c r="O21" s="2">
        <v>0</v>
      </c>
      <c r="P21" s="2">
        <f t="shared" si="0"/>
        <v>25000</v>
      </c>
      <c r="Q21" s="10" t="s">
        <v>24</v>
      </c>
    </row>
    <row r="22" spans="1:17" ht="28" x14ac:dyDescent="0.2">
      <c r="A22" s="7">
        <v>21</v>
      </c>
      <c r="B22" s="7" t="s">
        <v>45</v>
      </c>
      <c r="C22" s="7" t="s">
        <v>52</v>
      </c>
      <c r="D22" s="7" t="s">
        <v>53</v>
      </c>
      <c r="E22" s="7">
        <v>8690990951</v>
      </c>
      <c r="F22" s="8" t="s">
        <v>38</v>
      </c>
      <c r="G22" s="9" t="s">
        <v>39</v>
      </c>
      <c r="H22" s="7">
        <v>25000</v>
      </c>
      <c r="I22" s="7">
        <v>1</v>
      </c>
      <c r="J22" s="7">
        <v>1</v>
      </c>
      <c r="K22" s="7" t="s">
        <v>63</v>
      </c>
      <c r="L22" s="7" t="s">
        <v>56</v>
      </c>
      <c r="M22" s="11" t="s">
        <v>28</v>
      </c>
      <c r="N22" s="2">
        <f t="shared" si="2"/>
        <v>25000</v>
      </c>
      <c r="O22" s="2">
        <v>0</v>
      </c>
      <c r="P22" s="2">
        <f t="shared" si="0"/>
        <v>25000</v>
      </c>
      <c r="Q22" s="10" t="s">
        <v>24</v>
      </c>
    </row>
    <row r="23" spans="1:17" ht="39" x14ac:dyDescent="0.2">
      <c r="A23" s="7">
        <v>22</v>
      </c>
      <c r="B23" s="7" t="s">
        <v>45</v>
      </c>
      <c r="C23" s="7" t="s">
        <v>52</v>
      </c>
      <c r="D23" s="7" t="s">
        <v>53</v>
      </c>
      <c r="E23" s="7">
        <v>8690990951</v>
      </c>
      <c r="F23" s="8" t="s">
        <v>38</v>
      </c>
      <c r="G23" s="9" t="s">
        <v>64</v>
      </c>
      <c r="H23" s="7">
        <v>25000</v>
      </c>
      <c r="I23" s="7">
        <v>2</v>
      </c>
      <c r="J23" s="7">
        <v>2</v>
      </c>
      <c r="K23" s="7" t="s">
        <v>51</v>
      </c>
      <c r="L23" s="7" t="s">
        <v>56</v>
      </c>
      <c r="M23" s="11" t="s">
        <v>28</v>
      </c>
      <c r="N23" s="2">
        <f t="shared" si="2"/>
        <v>50000</v>
      </c>
      <c r="O23" s="2">
        <v>0</v>
      </c>
      <c r="P23" s="2">
        <f t="shared" si="0"/>
        <v>50000</v>
      </c>
      <c r="Q23" s="10" t="s">
        <v>24</v>
      </c>
    </row>
    <row r="24" spans="1:17" ht="78" x14ac:dyDescent="0.2">
      <c r="A24" s="7">
        <v>23</v>
      </c>
      <c r="B24" s="7" t="s">
        <v>59</v>
      </c>
      <c r="C24" s="7" t="s">
        <v>60</v>
      </c>
      <c r="D24" s="7" t="s">
        <v>61</v>
      </c>
      <c r="E24" s="7">
        <v>9811839292</v>
      </c>
      <c r="F24" s="8" t="s">
        <v>20</v>
      </c>
      <c r="G24" s="9" t="s">
        <v>65</v>
      </c>
      <c r="H24" s="7">
        <v>24000</v>
      </c>
      <c r="I24" s="7">
        <v>1</v>
      </c>
      <c r="J24" s="7">
        <v>1</v>
      </c>
      <c r="K24" s="7" t="s">
        <v>66</v>
      </c>
      <c r="L24" s="7" t="s">
        <v>67</v>
      </c>
      <c r="M24" s="11" t="s">
        <v>28</v>
      </c>
      <c r="N24" s="2">
        <f t="shared" si="2"/>
        <v>24000</v>
      </c>
      <c r="O24" s="2">
        <f t="shared" si="1"/>
        <v>4320</v>
      </c>
      <c r="P24" s="2">
        <f t="shared" si="0"/>
        <v>28320</v>
      </c>
      <c r="Q24" s="10" t="s">
        <v>77</v>
      </c>
    </row>
    <row r="25" spans="1:17" ht="39" x14ac:dyDescent="0.2">
      <c r="A25" s="7">
        <v>24</v>
      </c>
      <c r="B25" s="7" t="s">
        <v>68</v>
      </c>
      <c r="C25" s="7" t="s">
        <v>69</v>
      </c>
      <c r="D25" s="7" t="s">
        <v>70</v>
      </c>
      <c r="E25" s="7">
        <v>9982249019</v>
      </c>
      <c r="F25" s="8" t="s">
        <v>38</v>
      </c>
      <c r="G25" s="13" t="s">
        <v>71</v>
      </c>
      <c r="H25" s="7">
        <v>28000</v>
      </c>
      <c r="I25" s="7">
        <v>1</v>
      </c>
      <c r="J25" s="7">
        <v>1</v>
      </c>
      <c r="K25" s="7" t="s">
        <v>72</v>
      </c>
      <c r="L25" s="7" t="s">
        <v>73</v>
      </c>
      <c r="M25" s="11" t="s">
        <v>28</v>
      </c>
      <c r="N25" s="2">
        <f t="shared" si="2"/>
        <v>28000</v>
      </c>
      <c r="O25" s="2">
        <f t="shared" si="1"/>
        <v>5040</v>
      </c>
      <c r="P25" s="2">
        <f t="shared" si="0"/>
        <v>33040</v>
      </c>
      <c r="Q25" s="10" t="s">
        <v>77</v>
      </c>
    </row>
    <row r="26" spans="1:17" ht="52" x14ac:dyDescent="0.2">
      <c r="A26" s="7">
        <v>25</v>
      </c>
      <c r="B26" s="7" t="s">
        <v>68</v>
      </c>
      <c r="C26" s="7" t="s">
        <v>69</v>
      </c>
      <c r="D26" s="7" t="s">
        <v>70</v>
      </c>
      <c r="E26" s="7">
        <v>9982249019</v>
      </c>
      <c r="F26" s="8" t="s">
        <v>38</v>
      </c>
      <c r="G26" s="13" t="s">
        <v>74</v>
      </c>
      <c r="H26" s="7">
        <v>28000</v>
      </c>
      <c r="I26" s="7">
        <v>1</v>
      </c>
      <c r="J26" s="7">
        <v>1</v>
      </c>
      <c r="K26" s="7" t="s">
        <v>72</v>
      </c>
      <c r="L26" s="7" t="s">
        <v>73</v>
      </c>
      <c r="M26" s="11" t="s">
        <v>28</v>
      </c>
      <c r="N26" s="2">
        <f t="shared" si="2"/>
        <v>28000</v>
      </c>
      <c r="O26" s="2">
        <f t="shared" si="1"/>
        <v>5040</v>
      </c>
      <c r="P26" s="2">
        <f t="shared" si="0"/>
        <v>33040</v>
      </c>
      <c r="Q26" s="10" t="s">
        <v>77</v>
      </c>
    </row>
    <row r="27" spans="1:17" ht="28" x14ac:dyDescent="0.2">
      <c r="A27" s="7">
        <v>26</v>
      </c>
      <c r="B27" s="7" t="s">
        <v>45</v>
      </c>
      <c r="C27" s="7" t="s">
        <v>52</v>
      </c>
      <c r="D27" s="7" t="s">
        <v>53</v>
      </c>
      <c r="E27" s="7">
        <v>8690990951</v>
      </c>
      <c r="F27" s="8" t="s">
        <v>20</v>
      </c>
      <c r="G27" s="9" t="s">
        <v>50</v>
      </c>
      <c r="H27" s="7">
        <v>25000</v>
      </c>
      <c r="I27" s="7">
        <v>1</v>
      </c>
      <c r="J27" s="7">
        <v>1</v>
      </c>
      <c r="K27" s="7" t="s">
        <v>75</v>
      </c>
      <c r="L27" s="7" t="s">
        <v>56</v>
      </c>
      <c r="M27" s="11" t="s">
        <v>28</v>
      </c>
      <c r="N27" s="2">
        <f t="shared" si="2"/>
        <v>25000</v>
      </c>
      <c r="O27" s="2">
        <v>0</v>
      </c>
      <c r="P27" s="2">
        <f t="shared" si="0"/>
        <v>25000</v>
      </c>
      <c r="Q27" s="10" t="s">
        <v>77</v>
      </c>
    </row>
    <row r="28" spans="1:17" ht="52" x14ac:dyDescent="0.2">
      <c r="A28" s="7">
        <v>27</v>
      </c>
      <c r="B28" s="7" t="s">
        <v>45</v>
      </c>
      <c r="C28" s="12" t="s">
        <v>46</v>
      </c>
      <c r="D28" s="7" t="s">
        <v>47</v>
      </c>
      <c r="E28" s="7">
        <v>9694830130</v>
      </c>
      <c r="F28" s="8" t="s">
        <v>20</v>
      </c>
      <c r="G28" s="13" t="s">
        <v>76</v>
      </c>
      <c r="H28" s="7">
        <v>27000</v>
      </c>
      <c r="I28" s="7">
        <v>1</v>
      </c>
      <c r="J28" s="7">
        <v>3</v>
      </c>
      <c r="K28" s="7" t="s">
        <v>27</v>
      </c>
      <c r="L28" s="7" t="s">
        <v>49</v>
      </c>
      <c r="M28" s="7">
        <v>15</v>
      </c>
      <c r="N28" s="2">
        <f t="shared" si="2"/>
        <v>81000</v>
      </c>
      <c r="O28" s="2">
        <f t="shared" si="1"/>
        <v>14580</v>
      </c>
      <c r="P28" s="2">
        <f t="shared" si="0"/>
        <v>95580</v>
      </c>
      <c r="Q28" s="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Saangari Ads</dc:creator>
  <cp:lastModifiedBy>Saangari Ads</cp:lastModifiedBy>
  <dcterms:created xsi:type="dcterms:W3CDTF">2026-07-14T10:07:55Z</dcterms:created>
  <dcterms:modified xsi:type="dcterms:W3CDTF">2026-07-14T10:09:19Z</dcterms:modified>
</cp:coreProperties>
</file>